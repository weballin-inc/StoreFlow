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o2\source\repos\StoreFlow\backend\"/>
    </mc:Choice>
  </mc:AlternateContent>
  <xr:revisionPtr revIDLastSave="0" documentId="13_ncr:1_{77217FD1-EB2F-485B-8689-21E035A8DA26}" xr6:coauthVersionLast="47" xr6:coauthVersionMax="47" xr10:uidLastSave="{00000000-0000-0000-0000-000000000000}"/>
  <bookViews>
    <workbookView xWindow="72720" yWindow="420" windowWidth="18480" windowHeight="15240" activeTab="1" xr2:uid="{291862C8-D710-4EB8-8BED-80BBEE43BFDA}"/>
  </bookViews>
  <sheets>
    <sheet name="API ENDPOINTS" sheetId="2" r:id="rId1"/>
    <sheet name="OPERATION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3" l="1"/>
</calcChain>
</file>

<file path=xl/sharedStrings.xml><?xml version="1.0" encoding="utf-8"?>
<sst xmlns="http://schemas.openxmlformats.org/spreadsheetml/2006/main" count="300" uniqueCount="196">
  <si>
    <t>MediaID</t>
  </si>
  <si>
    <t>MediaTitle</t>
  </si>
  <si>
    <t>MediaType</t>
  </si>
  <si>
    <t>tblMediaCopies</t>
  </si>
  <si>
    <t>CopyID</t>
  </si>
  <si>
    <t>CopyStatus</t>
  </si>
  <si>
    <t>CopyPrice</t>
  </si>
  <si>
    <t>tblSales</t>
  </si>
  <si>
    <t>SaleID</t>
  </si>
  <si>
    <t>SaleDate</t>
  </si>
  <si>
    <t>SalePrice</t>
  </si>
  <si>
    <t>EmployeeID</t>
  </si>
  <si>
    <t>tblEmployees</t>
  </si>
  <si>
    <t>EmployeeName</t>
  </si>
  <si>
    <t>EmployeeGrade</t>
  </si>
  <si>
    <t>EmployeeStatus</t>
  </si>
  <si>
    <t>TABLE_NAME</t>
  </si>
  <si>
    <t>INT</t>
  </si>
  <si>
    <t>NVC</t>
  </si>
  <si>
    <t>VC</t>
  </si>
  <si>
    <t>DT</t>
  </si>
  <si>
    <t>DC</t>
  </si>
  <si>
    <t>PK</t>
  </si>
  <si>
    <t>FK</t>
  </si>
  <si>
    <t>tblMediaTitles</t>
  </si>
  <si>
    <t>Does it need anything more than CRUD?</t>
  </si>
  <si>
    <t>Validation Failure Scenario</t>
  </si>
  <si>
    <t>MediaGenre</t>
  </si>
  <si>
    <t>MediaDate</t>
  </si>
  <si>
    <r>
      <t xml:space="preserve">Nonexistent </t>
    </r>
    <r>
      <rPr>
        <i/>
        <sz val="11"/>
        <color theme="1"/>
        <rFont val="Aptos Narrow"/>
        <family val="2"/>
        <scheme val="minor"/>
      </rPr>
      <t>MediaID</t>
    </r>
  </si>
  <si>
    <r>
      <t xml:space="preserve">Duplicate </t>
    </r>
    <r>
      <rPr>
        <i/>
        <sz val="11"/>
        <color theme="1"/>
        <rFont val="Aptos Narrow"/>
        <family val="2"/>
        <scheme val="minor"/>
      </rPr>
      <t>MediaDate</t>
    </r>
  </si>
  <si>
    <r>
      <t xml:space="preserve">Duplicate </t>
    </r>
    <r>
      <rPr>
        <i/>
        <sz val="11"/>
        <color theme="1"/>
        <rFont val="Aptos Narrow"/>
        <family val="2"/>
        <scheme val="minor"/>
      </rPr>
      <t>EmployeeName</t>
    </r>
    <r>
      <rPr>
        <sz val="11"/>
        <color theme="1"/>
        <rFont val="Aptos Narrow"/>
        <family val="2"/>
        <scheme val="minor"/>
      </rPr>
      <t>+</t>
    </r>
    <r>
      <rPr>
        <i/>
        <sz val="11"/>
        <color theme="1"/>
        <rFont val="Aptos Narrow"/>
        <family val="2"/>
        <scheme val="minor"/>
      </rPr>
      <t>EmployeeGrade</t>
    </r>
  </si>
  <si>
    <t>AddCopy asks for details on tblMediaTitles</t>
  </si>
  <si>
    <t>Already sold item from tblMediaCopies</t>
  </si>
  <si>
    <t>Inactive/Nonexistent tblEmployees</t>
  </si>
  <si>
    <t>SalePrice different from CopyPrice</t>
  </si>
  <si>
    <t>tblMediaCopies.CopyStatus not updated to SOLD</t>
  </si>
  <si>
    <t>Check for available copies, else throw err</t>
  </si>
  <si>
    <t>Throw err</t>
  </si>
  <si>
    <t>Force SalePrice = CopyPrice</t>
  </si>
  <si>
    <t>Update tblMediaCopies.CopyStatus</t>
  </si>
  <si>
    <t>Services</t>
  </si>
  <si>
    <t>Lista operacji (sumarycznie)</t>
  </si>
  <si>
    <t>Type of operation</t>
  </si>
  <si>
    <t>API endpoint</t>
  </si>
  <si>
    <t>CREATE</t>
  </si>
  <si>
    <t>READ</t>
  </si>
  <si>
    <t>UPDATE</t>
  </si>
  <si>
    <t>DELETE</t>
  </si>
  <si>
    <t>CREATE -&gt; AddCopy</t>
  </si>
  <si>
    <t>UPDATE -&gt; UpdateCopyPrice</t>
  </si>
  <si>
    <t>CREATE -&gt; SellCopy</t>
  </si>
  <si>
    <t>POST /media</t>
  </si>
  <si>
    <t>PUT /media/{media_id}</t>
  </si>
  <si>
    <t>GET /media | GET /media/{media_id}</t>
  </si>
  <si>
    <t>DELETE /media/{media_id}</t>
  </si>
  <si>
    <t>POST /copies</t>
  </si>
  <si>
    <t>GET /copies | GET/copies/{copy_id}</t>
  </si>
  <si>
    <t>DELETE /copies/{copy_id}</t>
  </si>
  <si>
    <t>POST /employees</t>
  </si>
  <si>
    <t>GET /employees | GET /employees/{employee_id}</t>
  </si>
  <si>
    <t>PUT /employees/{employee_id}</t>
  </si>
  <si>
    <t>DELETE /employees/{employee_id}</t>
  </si>
  <si>
    <t>POST /sales</t>
  </si>
  <si>
    <t>GET /sales | GET /sales/{sale_id}</t>
  </si>
  <si>
    <t>DELETE /sales/{sale_id}</t>
  </si>
  <si>
    <r>
      <rPr>
        <sz val="9"/>
        <color theme="3" tint="0.249977111117893"/>
        <rFont val="Consolas"/>
        <family val="3"/>
      </rPr>
      <t>FOREIGN KEY</t>
    </r>
    <r>
      <rPr>
        <sz val="9"/>
        <color theme="1"/>
        <rFont val="Consolas"/>
        <family val="3"/>
      </rPr>
      <t xml:space="preserve">(MediaID)
</t>
    </r>
    <r>
      <rPr>
        <sz val="9"/>
        <color theme="3" tint="0.249977111117893"/>
        <rFont val="Consolas"/>
        <family val="3"/>
      </rPr>
      <t>REFERENCES</t>
    </r>
    <r>
      <rPr>
        <sz val="9"/>
        <color theme="1"/>
        <rFont val="Consolas"/>
        <family val="3"/>
      </rPr>
      <t xml:space="preserve"> tblMediaTitles(MediaID)
</t>
    </r>
    <r>
      <rPr>
        <sz val="9"/>
        <color theme="3" tint="0.249977111117893"/>
        <rFont val="Consolas"/>
        <family val="3"/>
      </rPr>
      <t>ON</t>
    </r>
    <r>
      <rPr>
        <sz val="9"/>
        <color theme="1"/>
        <rFont val="Consolas"/>
        <family val="3"/>
      </rPr>
      <t xml:space="preserve"> </t>
    </r>
    <r>
      <rPr>
        <sz val="9"/>
        <color theme="3" tint="0.249977111117893"/>
        <rFont val="Consolas"/>
        <family val="3"/>
      </rPr>
      <t>DELETE</t>
    </r>
    <r>
      <rPr>
        <sz val="9"/>
        <color theme="1"/>
        <rFont val="Consolas"/>
        <family val="3"/>
      </rPr>
      <t xml:space="preserve"> </t>
    </r>
    <r>
      <rPr>
        <sz val="9"/>
        <color theme="3" tint="0.249977111117893"/>
        <rFont val="Consolas"/>
        <family val="3"/>
      </rPr>
      <t>RESTRICT</t>
    </r>
  </si>
  <si>
    <t>PUT /copies/{copy_id}/price</t>
  </si>
  <si>
    <t>UPDATE -&gt; UpdateSaleRestrict</t>
  </si>
  <si>
    <t>--</t>
  </si>
  <si>
    <t>addMedia</t>
  </si>
  <si>
    <t>if title.exists(): throw err;   else: return title</t>
  </si>
  <si>
    <t>operation.name</t>
  </si>
  <si>
    <t>operation.function</t>
  </si>
  <si>
    <t>operation.parameters</t>
  </si>
  <si>
    <t>media_title, media_type, media_genre, media_date</t>
  </si>
  <si>
    <t>parameters.contraints</t>
  </si>
  <si>
    <t>title/type/genre not text; date not date</t>
  </si>
  <si>
    <t>Typ błędu</t>
  </si>
  <si>
    <t>Gdzie</t>
  </si>
  <si>
    <t>Przykład</t>
  </si>
  <si>
    <t>Zły JSON / typ</t>
  </si>
  <si>
    <t>schemas.py</t>
  </si>
  <si>
    <t>title: int</t>
  </si>
  <si>
    <t>Zły zakres</t>
  </si>
  <si>
    <t>price &lt;= 0</t>
  </si>
  <si>
    <t>Złamana reguła biznesowa</t>
  </si>
  <si>
    <t>domain/exceptions.py</t>
  </si>
  <si>
    <t>MediaAlreadyExistsError</t>
  </si>
  <si>
    <t>Stan logicznie niemożliwy</t>
  </si>
  <si>
    <t>CannotDeleteMediaWithCopiesError</t>
  </si>
  <si>
    <t>Enum = zamknięty zbiór dozwolonych stanów / typów</t>
  </si>
  <si>
    <t>Podział błędów</t>
  </si>
  <si>
    <t>Czym jest enum?</t>
  </si>
  <si>
    <t>MediaType = BOOK | GAME | MOVIE</t>
  </si>
  <si>
    <t>CopyStatus = AVAILABLE | SOLD</t>
  </si>
  <si>
    <t>EmployeeStatus = ACTIVE | INACTIVE</t>
  </si>
  <si>
    <t>Czym jest Service?</t>
  </si>
  <si>
    <t>Service:</t>
  </si>
  <si>
    <t>NIE waliduje typów</t>
  </si>
  <si>
    <t>NIE waliduje JSON</t>
  </si>
  <si>
    <t>NIE sprawdza czy string jest stringiem</t>
  </si>
  <si>
    <t>Service sprawdza:</t>
  </si>
  <si>
    <t>istnienie / brak</t>
  </si>
  <si>
    <t>relacje między bytami</t>
  </si>
  <si>
    <t>reguły biznesowe</t>
  </si>
  <si>
    <t>Przykład:</t>
  </si>
  <si>
    <t>✔️ „Media o takim tytule już istnieje”</t>
  </si>
  <si>
    <t>❌ „title nie jest stringiem”</t>
  </si>
  <si>
    <t>Zero wyników w query</t>
  </si>
  <si>
    <t>repositories/media_repo.py</t>
  </si>
  <si>
    <t>SQL returned 0: RecordNotFound</t>
  </si>
  <si>
    <t>„Jak wygląda mapowanie na HTTPS?”</t>
  </si>
  <si>
    <t>Mechanicznie:</t>
  </si>
  <si>
    <t>FastAPI łapie wyjątek</t>
  </si>
  <si>
    <t>Twój handler:</t>
  </si>
  <si>
    <t>wybiera kod HTTP</t>
  </si>
  <si>
    <t>buduje JSON odpowiedzi</t>
  </si>
  <si>
    <t>Domena NIE ZNA HTTP.</t>
  </si>
  <si>
    <t>HTTP NIE ZNA DOMENY (poza mapowaniem).</t>
  </si>
  <si>
    <t>Repository robi SQL, które rzuca:</t>
  </si>
  <si>
    <t>RecordNotFound</t>
  </si>
  <si>
    <t>IntegrityError</t>
  </si>
  <si>
    <t>sqlite3.Error</t>
  </si>
  <si>
    <t>Service decyduje:</t>
  </si>
  <si>
    <t>„co to ZNACZY w domenie”</t>
  </si>
  <si>
    <t>zamienia to na:</t>
  </si>
  <si>
    <t>MediaNotFoundError</t>
  </si>
  <si>
    <t>API mapuje:</t>
  </si>
  <si>
    <t>MediaAlreadyExistsError → HTTP 409</t>
  </si>
  <si>
    <r>
      <t xml:space="preserve">Weźmy przypadek </t>
    </r>
    <r>
      <rPr>
        <b/>
        <sz val="11"/>
        <color theme="1"/>
        <rFont val="Aptos Narrow"/>
        <family val="2"/>
        <scheme val="minor"/>
      </rPr>
      <t>POST /media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duplikat tytułu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HTTP 409</t>
    </r>
    <r>
      <rPr>
        <sz val="11"/>
        <color theme="1"/>
        <rFont val="Aptos Narrow"/>
        <family val="2"/>
        <scheme val="minor"/>
      </rPr>
      <t>.</t>
    </r>
  </si>
  <si>
    <t>0. Założenia</t>
  </si>
  <si>
    <r>
      <t xml:space="preserve">Endpoint: </t>
    </r>
    <r>
      <rPr>
        <sz val="9"/>
        <color theme="1"/>
        <rFont val="Arial Unicode MS"/>
      </rPr>
      <t>POST /media</t>
    </r>
  </si>
  <si>
    <r>
      <t xml:space="preserve">Procedura: </t>
    </r>
    <r>
      <rPr>
        <sz val="9"/>
        <color theme="1"/>
        <rFont val="Arial Unicode MS"/>
      </rPr>
      <t>add_media</t>
    </r>
  </si>
  <si>
    <r>
      <t xml:space="preserve">Reguła domenowa: </t>
    </r>
    <r>
      <rPr>
        <i/>
        <sz val="9"/>
        <color theme="1"/>
        <rFont val="Aptos Narrow"/>
        <family val="2"/>
        <scheme val="minor"/>
      </rPr>
      <t xml:space="preserve">nie można dodać drugiego Media o tym samym </t>
    </r>
    <r>
      <rPr>
        <i/>
        <sz val="9"/>
        <color theme="1"/>
        <rFont val="Arial Unicode MS"/>
      </rPr>
      <t>(title, media_type)</t>
    </r>
  </si>
  <si>
    <r>
      <t xml:space="preserve">Błąd domenowy: </t>
    </r>
    <r>
      <rPr>
        <sz val="9"/>
        <color theme="1"/>
        <rFont val="Arial Unicode MS"/>
      </rPr>
      <t>MediaAlreadyExistsError</t>
    </r>
  </si>
  <si>
    <r>
      <t xml:space="preserve">DB: ma UNIQUE constraint </t>
    </r>
    <r>
      <rPr>
        <sz val="9"/>
        <color theme="1"/>
        <rFont val="Arial Unicode MS"/>
      </rPr>
      <t>(title, media_type)</t>
    </r>
  </si>
  <si>
    <t>1. Request HTTP</t>
  </si>
  <si>
    <t>Klient wysyła POST /media; Content-Type: application/json;</t>
  </si>
  <si>
    <t>JSON: {"title":"Wiedźmin 3", "media_type":"GAME", "release_year":2015}</t>
  </si>
  <si>
    <t>2. FastAPI - parsing + schemas</t>
  </si>
  <si>
    <t>Schema sprawdza: [czy title jest str], [czy media_type pasuje do definicji w enums.py], [czy release_year to int]</t>
  </si>
  <si>
    <t>FastAPI: [Odczytuje body (json)], [przekazuje je do Pydantic schema wewnątrz schemas.py]</t>
  </si>
  <si>
    <t>Jeśli tu jest błąd: FastAPI zwraca 422 Unprocessable Entity, nic dalej się nie wykonuje</t>
  </si>
  <si>
    <t>3. Endpoint API</t>
  </si>
  <si>
    <t>Endpoint wywołuje service po otrzymaniu poprawnych danych</t>
  </si>
  <si>
    <t>try:
    result = add_media(...)
    return 201 + response
except DomainError:
    (nie tutaj)</t>
  </si>
  <si>
    <t>4. Service (add_media) - centrum decyzyjne</t>
  </si>
  <si>
    <t>Service otrzymuje sensowne dane (schemas):</t>
  </si>
  <si>
    <t>title = "Wiedźmin 3"</t>
  </si>
  <si>
    <t>media_type = GAME</t>
  </si>
  <si>
    <t>release_year = 2015</t>
  </si>
  <si>
    <t>Sprawdza istnienie tytułu za pomocą get_by_title_type()</t>
  </si>
  <si>
    <t>5. Repository - SQL</t>
  </si>
  <si>
    <t>Repository wykonuje na SQL INSERT</t>
  </si>
  <si>
    <t>Wyrzuca błąd techniczny w stylu IntegrityError/sqlite3.Error</t>
  </si>
  <si>
    <t>6. Service - mapowanie techniczne do domenowego</t>
  </si>
  <si>
    <t>Service łapie wyjątek repozytorium</t>
  </si>
  <si>
    <t>except IntegrityError:
    raise MediaAlreadyExistsError(...)</t>
  </si>
  <si>
    <t>MediaAlreadyExistsError nie jest łapane w Endpointzie, tylko FastAPI(2)</t>
  </si>
  <si>
    <t>7. Propagacja wyjątku do FastAPI</t>
  </si>
  <si>
    <t>Handler w FastAPI konstruuje response JSON</t>
  </si>
  <si>
    <t>{ "error": "MEDIA_ALREADY_EXISTS", "message": "Media with given title and type already exists"}</t>
  </si>
  <si>
    <t>ITEMS</t>
  </si>
  <si>
    <t>Title</t>
  </si>
  <si>
    <t>Type</t>
  </si>
  <si>
    <t>Release</t>
  </si>
  <si>
    <t>Publisher</t>
  </si>
  <si>
    <t>Quantity</t>
  </si>
  <si>
    <t>Wiedzmin</t>
  </si>
  <si>
    <t>GAME</t>
  </si>
  <si>
    <t>CDPR</t>
  </si>
  <si>
    <t>Price</t>
  </si>
  <si>
    <t>COUNT(*)</t>
  </si>
  <si>
    <t>GET /copies</t>
  </si>
  <si>
    <t>AVAILABLE</t>
  </si>
  <si>
    <t>SOLD</t>
  </si>
  <si>
    <t>Cyberpunk</t>
  </si>
  <si>
    <t>Proces dodawania endpointu od zera</t>
  </si>
  <si>
    <t>Error handlers for business logic errors</t>
  </si>
  <si>
    <t>Schemas for API request validators</t>
  </si>
  <si>
    <t>PATH = /backend/app/*</t>
  </si>
  <si>
    <t>Explanation</t>
  </si>
  <si>
    <t>~/api/routes/[NAME].py</t>
  </si>
  <si>
    <t>~/api/error_handlers.py</t>
  </si>
  <si>
    <t>~/api/schemas.py</t>
  </si>
  <si>
    <t>~/core/init_db.py</t>
  </si>
  <si>
    <t>SQL script for intializing the table</t>
  </si>
  <si>
    <t>~/domain/exceptions.py</t>
  </si>
  <si>
    <t>Classes for domain errors (used in handlers)</t>
  </si>
  <si>
    <t>~/repositories/[NAME]_repo.py</t>
  </si>
  <si>
    <t>SQL script for CRUD operations</t>
  </si>
  <si>
    <t>~/services/services.py</t>
  </si>
  <si>
    <t>Business logic wrapper for CRUD operations (function/error invoker)</t>
  </si>
  <si>
    <t>~/main.py</t>
  </si>
  <si>
    <t>API endpoint invoker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</si>
</sst>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3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Consolas"/>
      <family val="3"/>
    </font>
    <font>
      <sz val="9"/>
      <color theme="1"/>
      <name val="Consolas"/>
      <family val="3"/>
    </font>
    <font>
      <sz val="9"/>
      <color theme="3" tint="0.249977111117893"/>
      <name val="Consolas"/>
      <family val="3"/>
    </font>
    <font>
      <b/>
      <sz val="11"/>
      <color theme="1"/>
      <name val="Aptos Narrow"/>
      <family val="2"/>
      <scheme val="minor"/>
    </font>
    <font>
      <sz val="9"/>
      <color theme="1"/>
      <name val="Arial Unicode MS"/>
    </font>
    <font>
      <i/>
      <sz val="9"/>
      <color theme="1"/>
      <name val="Aptos Narrow"/>
      <family val="2"/>
      <scheme val="minor"/>
    </font>
    <font>
      <i/>
      <sz val="9"/>
      <color theme="1"/>
      <name val="Arial Unicode MS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0" xfId="0" quotePrefix="1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1" fillId="3" borderId="12" xfId="2" applyBorder="1"/>
    <xf numFmtId="0" fontId="11" fillId="3" borderId="16" xfId="2" applyBorder="1"/>
    <xf numFmtId="0" fontId="11" fillId="3" borderId="13" xfId="2" applyBorder="1"/>
    <xf numFmtId="0" fontId="11" fillId="3" borderId="14" xfId="2" applyBorder="1"/>
    <xf numFmtId="0" fontId="11" fillId="3" borderId="17" xfId="2" applyBorder="1"/>
    <xf numFmtId="0" fontId="11" fillId="3" borderId="15" xfId="2" applyBorder="1"/>
    <xf numFmtId="0" fontId="10" fillId="2" borderId="12" xfId="1" applyBorder="1"/>
    <xf numFmtId="0" fontId="10" fillId="2" borderId="13" xfId="1" applyBorder="1"/>
    <xf numFmtId="0" fontId="10" fillId="2" borderId="14" xfId="1" applyBorder="1"/>
    <xf numFmtId="6" fontId="10" fillId="2" borderId="15" xfId="1" applyNumberFormat="1" applyBorder="1"/>
    <xf numFmtId="0" fontId="4" fillId="0" borderId="1" xfId="0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/>
    <xf numFmtId="0" fontId="1" fillId="0" borderId="0" xfId="0" applyFont="1"/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1" fillId="3" borderId="1" xfId="2" applyBorder="1" applyAlignment="1">
      <alignment horizontal="center" vertical="center"/>
    </xf>
    <xf numFmtId="0" fontId="10" fillId="2" borderId="2" xfId="1" applyBorder="1" applyAlignment="1">
      <alignment horizontal="center" vertical="center"/>
    </xf>
    <xf numFmtId="0" fontId="10" fillId="2" borderId="3" xfId="1" applyBorder="1" applyAlignment="1">
      <alignment horizontal="center" vertical="center"/>
    </xf>
    <xf numFmtId="0" fontId="10" fillId="2" borderId="4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Font="1"/>
    <xf numFmtId="0" fontId="12" fillId="0" borderId="0" xfId="0" applyFont="1" applyFill="1" applyBorder="1"/>
    <xf numFmtId="0" fontId="4" fillId="0" borderId="0" xfId="0" applyFont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3FA07-1889-4EEB-80C7-3AA9DEAD6859}">
  <dimension ref="A1:R28"/>
  <sheetViews>
    <sheetView zoomScale="145" zoomScaleNormal="145" workbookViewId="0">
      <selection activeCell="K18" sqref="K18"/>
    </sheetView>
  </sheetViews>
  <sheetFormatPr defaultRowHeight="15"/>
  <cols>
    <col min="1" max="1" width="34.28515625" style="1" bestFit="1" customWidth="1"/>
    <col min="2" max="2" width="39.140625" style="1" bestFit="1" customWidth="1"/>
    <col min="3" max="3" width="47.28515625" style="1" bestFit="1" customWidth="1"/>
    <col min="4" max="4" width="8.42578125" style="1" bestFit="1" customWidth="1"/>
    <col min="5" max="5" width="2.5703125" style="1" customWidth="1"/>
    <col min="6" max="6" width="9.28515625" style="1" bestFit="1" customWidth="1"/>
    <col min="7" max="7" width="11.85546875" style="1" bestFit="1" customWidth="1"/>
    <col min="8" max="8" width="12" style="1" bestFit="1" customWidth="1"/>
    <col min="9" max="9" width="12.140625" style="1" bestFit="1" customWidth="1"/>
    <col min="10" max="10" width="9.28515625" style="1" bestFit="1" customWidth="1"/>
    <col min="11" max="16384" width="9.140625" style="1"/>
  </cols>
  <sheetData>
    <row r="1" spans="1:18">
      <c r="A1" s="31" t="s">
        <v>41</v>
      </c>
      <c r="B1" s="31"/>
      <c r="C1" s="31"/>
      <c r="E1" s="2"/>
      <c r="F1" s="32" t="s">
        <v>24</v>
      </c>
      <c r="G1" s="32"/>
      <c r="H1" s="32"/>
      <c r="I1" s="32"/>
      <c r="J1" s="32"/>
      <c r="R1" s="2"/>
    </row>
    <row r="2" spans="1:18">
      <c r="A2" s="5" t="s">
        <v>16</v>
      </c>
      <c r="B2" s="5" t="s">
        <v>25</v>
      </c>
      <c r="C2" s="5" t="s">
        <v>26</v>
      </c>
      <c r="E2" s="4"/>
      <c r="F2" s="3" t="s">
        <v>0</v>
      </c>
      <c r="G2" s="3" t="s">
        <v>1</v>
      </c>
      <c r="H2" s="3" t="s">
        <v>2</v>
      </c>
      <c r="I2" s="3" t="s">
        <v>27</v>
      </c>
      <c r="J2" s="3" t="s">
        <v>28</v>
      </c>
      <c r="R2" s="4"/>
    </row>
    <row r="3" spans="1:18">
      <c r="A3" s="6" t="s">
        <v>24</v>
      </c>
      <c r="B3" s="6"/>
      <c r="C3" s="6" t="s">
        <v>30</v>
      </c>
      <c r="E3" s="4"/>
      <c r="F3" s="3" t="s">
        <v>17</v>
      </c>
      <c r="G3" s="3" t="s">
        <v>18</v>
      </c>
      <c r="H3" s="3" t="s">
        <v>19</v>
      </c>
      <c r="I3" s="3" t="s">
        <v>19</v>
      </c>
      <c r="J3" s="3" t="s">
        <v>20</v>
      </c>
      <c r="R3" s="4"/>
    </row>
    <row r="4" spans="1:18">
      <c r="A4" s="6" t="s">
        <v>3</v>
      </c>
      <c r="B4" s="6" t="s">
        <v>32</v>
      </c>
      <c r="C4" s="6" t="s">
        <v>29</v>
      </c>
      <c r="E4" s="4"/>
      <c r="F4" s="3" t="s">
        <v>22</v>
      </c>
      <c r="G4" s="3"/>
      <c r="H4" s="3"/>
      <c r="I4" s="3"/>
      <c r="J4" s="3"/>
      <c r="R4" s="4"/>
    </row>
    <row r="5" spans="1:18">
      <c r="A5" s="6" t="s">
        <v>12</v>
      </c>
      <c r="B5" s="6"/>
      <c r="C5" s="6" t="s">
        <v>31</v>
      </c>
    </row>
    <row r="6" spans="1:18" ht="15" customHeight="1">
      <c r="A6" s="33" t="s">
        <v>7</v>
      </c>
      <c r="B6" s="10" t="s">
        <v>37</v>
      </c>
      <c r="C6" s="7" t="s">
        <v>33</v>
      </c>
      <c r="F6" s="36" t="s">
        <v>3</v>
      </c>
      <c r="G6" s="37"/>
      <c r="H6" s="37"/>
      <c r="I6" s="38"/>
      <c r="J6" s="2"/>
      <c r="K6" s="30" t="s">
        <v>66</v>
      </c>
      <c r="L6" s="30"/>
      <c r="M6" s="30"/>
    </row>
    <row r="7" spans="1:18">
      <c r="A7" s="34"/>
      <c r="B7" s="11" t="s">
        <v>38</v>
      </c>
      <c r="C7" s="8" t="s">
        <v>34</v>
      </c>
      <c r="F7" s="3" t="s">
        <v>4</v>
      </c>
      <c r="G7" s="3" t="s">
        <v>0</v>
      </c>
      <c r="H7" s="3" t="s">
        <v>5</v>
      </c>
      <c r="I7" s="3" t="s">
        <v>6</v>
      </c>
      <c r="J7" s="4"/>
      <c r="K7" s="30"/>
      <c r="L7" s="30"/>
      <c r="M7" s="30"/>
    </row>
    <row r="8" spans="1:18">
      <c r="A8" s="34"/>
      <c r="B8" s="11" t="s">
        <v>39</v>
      </c>
      <c r="C8" s="8" t="s">
        <v>35</v>
      </c>
      <c r="F8" s="3" t="s">
        <v>17</v>
      </c>
      <c r="G8" s="3" t="s">
        <v>17</v>
      </c>
      <c r="H8" s="3" t="s">
        <v>19</v>
      </c>
      <c r="I8" s="3" t="s">
        <v>21</v>
      </c>
      <c r="J8" s="4"/>
      <c r="K8" s="30"/>
      <c r="L8" s="30"/>
      <c r="M8" s="30"/>
    </row>
    <row r="9" spans="1:18">
      <c r="A9" s="35"/>
      <c r="B9" s="12" t="s">
        <v>40</v>
      </c>
      <c r="C9" s="9" t="s">
        <v>36</v>
      </c>
      <c r="F9" s="3" t="s">
        <v>22</v>
      </c>
      <c r="G9" s="3" t="s">
        <v>23</v>
      </c>
      <c r="H9" s="3"/>
      <c r="I9" s="3"/>
      <c r="J9" s="4"/>
      <c r="K9" s="30"/>
      <c r="L9" s="30"/>
      <c r="M9" s="30"/>
    </row>
    <row r="11" spans="1:18">
      <c r="A11" s="32" t="s">
        <v>42</v>
      </c>
      <c r="B11" s="32"/>
      <c r="C11" s="32"/>
      <c r="F11" s="36" t="s">
        <v>7</v>
      </c>
      <c r="G11" s="37"/>
      <c r="H11" s="37"/>
      <c r="I11" s="37"/>
      <c r="J11" s="38"/>
    </row>
    <row r="12" spans="1:18">
      <c r="A12" s="5" t="s">
        <v>16</v>
      </c>
      <c r="B12" s="5" t="s">
        <v>43</v>
      </c>
      <c r="C12" s="5" t="s">
        <v>44</v>
      </c>
      <c r="F12" s="3" t="s">
        <v>8</v>
      </c>
      <c r="G12" s="3" t="s">
        <v>4</v>
      </c>
      <c r="H12" s="3" t="s">
        <v>9</v>
      </c>
      <c r="I12" s="3" t="s">
        <v>10</v>
      </c>
      <c r="J12" s="3" t="s">
        <v>11</v>
      </c>
    </row>
    <row r="13" spans="1:18">
      <c r="A13" s="33" t="s">
        <v>24</v>
      </c>
      <c r="B13" s="10" t="s">
        <v>45</v>
      </c>
      <c r="C13" s="13" t="s">
        <v>52</v>
      </c>
      <c r="F13" s="3" t="s">
        <v>17</v>
      </c>
      <c r="G13" s="3" t="s">
        <v>17</v>
      </c>
      <c r="H13" s="3" t="s">
        <v>20</v>
      </c>
      <c r="I13" s="3" t="s">
        <v>21</v>
      </c>
      <c r="J13" s="3" t="s">
        <v>17</v>
      </c>
    </row>
    <row r="14" spans="1:18">
      <c r="A14" s="34"/>
      <c r="B14" s="11" t="s">
        <v>46</v>
      </c>
      <c r="C14" s="14" t="s">
        <v>54</v>
      </c>
      <c r="F14" s="3" t="s">
        <v>22</v>
      </c>
      <c r="G14" s="3" t="s">
        <v>23</v>
      </c>
      <c r="H14" s="3"/>
      <c r="I14" s="3"/>
      <c r="J14" s="3" t="s">
        <v>23</v>
      </c>
    </row>
    <row r="15" spans="1:18">
      <c r="A15" s="34"/>
      <c r="B15" s="11" t="s">
        <v>47</v>
      </c>
      <c r="C15" s="14" t="s">
        <v>53</v>
      </c>
    </row>
    <row r="16" spans="1:18">
      <c r="A16" s="35"/>
      <c r="B16" s="12" t="s">
        <v>48</v>
      </c>
      <c r="C16" s="15" t="s">
        <v>55</v>
      </c>
      <c r="F16" s="36" t="s">
        <v>12</v>
      </c>
      <c r="G16" s="37"/>
      <c r="H16" s="37"/>
      <c r="I16" s="38"/>
    </row>
    <row r="17" spans="1:9">
      <c r="A17" s="33" t="s">
        <v>3</v>
      </c>
      <c r="B17" s="10" t="s">
        <v>49</v>
      </c>
      <c r="C17" s="13" t="s">
        <v>56</v>
      </c>
      <c r="F17" s="3" t="s">
        <v>11</v>
      </c>
      <c r="G17" s="3" t="s">
        <v>13</v>
      </c>
      <c r="H17" s="3" t="s">
        <v>14</v>
      </c>
      <c r="I17" s="3" t="s">
        <v>15</v>
      </c>
    </row>
    <row r="18" spans="1:9">
      <c r="A18" s="34"/>
      <c r="B18" s="11" t="s">
        <v>46</v>
      </c>
      <c r="C18" s="14" t="s">
        <v>57</v>
      </c>
      <c r="F18" s="3" t="s">
        <v>17</v>
      </c>
      <c r="G18" s="3" t="s">
        <v>19</v>
      </c>
      <c r="H18" s="3" t="s">
        <v>19</v>
      </c>
      <c r="I18" s="3" t="s">
        <v>19</v>
      </c>
    </row>
    <row r="19" spans="1:9">
      <c r="A19" s="34"/>
      <c r="B19" s="11" t="s">
        <v>50</v>
      </c>
      <c r="C19" s="14" t="s">
        <v>67</v>
      </c>
      <c r="F19" s="3" t="s">
        <v>22</v>
      </c>
      <c r="G19" s="3"/>
      <c r="H19" s="3"/>
      <c r="I19" s="3"/>
    </row>
    <row r="20" spans="1:9">
      <c r="A20" s="35"/>
      <c r="B20" s="12" t="s">
        <v>48</v>
      </c>
      <c r="C20" s="15" t="s">
        <v>58</v>
      </c>
    </row>
    <row r="21" spans="1:9">
      <c r="A21" s="33" t="s">
        <v>12</v>
      </c>
      <c r="B21" s="10" t="s">
        <v>45</v>
      </c>
      <c r="C21" s="13" t="s">
        <v>59</v>
      </c>
    </row>
    <row r="22" spans="1:9">
      <c r="A22" s="34"/>
      <c r="B22" s="11" t="s">
        <v>46</v>
      </c>
      <c r="C22" s="14" t="s">
        <v>60</v>
      </c>
    </row>
    <row r="23" spans="1:9">
      <c r="A23" s="34"/>
      <c r="B23" s="11" t="s">
        <v>47</v>
      </c>
      <c r="C23" s="14" t="s">
        <v>61</v>
      </c>
    </row>
    <row r="24" spans="1:9">
      <c r="A24" s="35"/>
      <c r="B24" s="12" t="s">
        <v>48</v>
      </c>
      <c r="C24" s="15" t="s">
        <v>62</v>
      </c>
    </row>
    <row r="25" spans="1:9">
      <c r="A25" s="33" t="s">
        <v>7</v>
      </c>
      <c r="B25" s="10" t="s">
        <v>51</v>
      </c>
      <c r="C25" s="13" t="s">
        <v>63</v>
      </c>
    </row>
    <row r="26" spans="1:9">
      <c r="A26" s="34"/>
      <c r="B26" s="11" t="s">
        <v>46</v>
      </c>
      <c r="C26" s="14" t="s">
        <v>64</v>
      </c>
    </row>
    <row r="27" spans="1:9">
      <c r="A27" s="34"/>
      <c r="B27" s="11" t="s">
        <v>68</v>
      </c>
      <c r="C27" s="16" t="s">
        <v>69</v>
      </c>
    </row>
    <row r="28" spans="1:9">
      <c r="A28" s="35"/>
      <c r="B28" s="12" t="s">
        <v>48</v>
      </c>
      <c r="C28" s="15" t="s">
        <v>65</v>
      </c>
    </row>
  </sheetData>
  <mergeCells count="12">
    <mergeCell ref="K6:M9"/>
    <mergeCell ref="A1:C1"/>
    <mergeCell ref="A11:C11"/>
    <mergeCell ref="A25:A28"/>
    <mergeCell ref="A21:A24"/>
    <mergeCell ref="A17:A20"/>
    <mergeCell ref="A13:A16"/>
    <mergeCell ref="F6:I6"/>
    <mergeCell ref="F11:J11"/>
    <mergeCell ref="F16:I16"/>
    <mergeCell ref="A6:A9"/>
    <mergeCell ref="F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FBF69-F40B-4D82-939D-3AFD7BBD6803}">
  <dimension ref="A1:M72"/>
  <sheetViews>
    <sheetView tabSelected="1" topLeftCell="H12" zoomScale="130" zoomScaleNormal="130" workbookViewId="0">
      <selection activeCell="K34" sqref="K34"/>
    </sheetView>
  </sheetViews>
  <sheetFormatPr defaultRowHeight="15"/>
  <cols>
    <col min="1" max="1" width="25.140625" bestFit="1" customWidth="1"/>
    <col min="2" max="2" width="20.85546875" bestFit="1" customWidth="1"/>
    <col min="3" max="3" width="33.140625" bestFit="1" customWidth="1"/>
    <col min="4" max="4" width="12.28515625" bestFit="1" customWidth="1"/>
    <col min="8" max="8" width="13.5703125" bestFit="1" customWidth="1"/>
    <col min="9" max="9" width="30.5703125" bestFit="1" customWidth="1"/>
    <col min="10" max="10" width="36.85546875" bestFit="1" customWidth="1"/>
    <col min="11" max="11" width="32.28515625" bestFit="1" customWidth="1"/>
    <col min="12" max="12" width="10.28515625" bestFit="1" customWidth="1"/>
  </cols>
  <sheetData>
    <row r="1" spans="1:13">
      <c r="A1" s="44" t="s">
        <v>24</v>
      </c>
      <c r="B1" s="44"/>
      <c r="C1" s="44"/>
      <c r="D1" s="44"/>
      <c r="E1" s="44"/>
      <c r="H1" t="s">
        <v>24</v>
      </c>
    </row>
    <row r="2" spans="1:13">
      <c r="A2" s="3" t="s">
        <v>0</v>
      </c>
      <c r="B2" t="s">
        <v>164</v>
      </c>
      <c r="C2" t="s">
        <v>165</v>
      </c>
      <c r="D2" t="s">
        <v>166</v>
      </c>
      <c r="E2" t="s">
        <v>167</v>
      </c>
      <c r="F2" s="4"/>
      <c r="H2" s="17" t="s">
        <v>72</v>
      </c>
      <c r="I2" s="17" t="s">
        <v>73</v>
      </c>
      <c r="J2" s="17" t="s">
        <v>74</v>
      </c>
      <c r="K2" s="17" t="s">
        <v>76</v>
      </c>
    </row>
    <row r="3" spans="1:13">
      <c r="A3" s="3" t="s">
        <v>17</v>
      </c>
      <c r="B3" s="3" t="s">
        <v>18</v>
      </c>
      <c r="C3" s="3" t="s">
        <v>19</v>
      </c>
      <c r="D3" s="3" t="s">
        <v>19</v>
      </c>
      <c r="E3" s="3" t="s">
        <v>20</v>
      </c>
      <c r="H3" s="17" t="s">
        <v>70</v>
      </c>
      <c r="I3" s="17" t="s">
        <v>71</v>
      </c>
      <c r="J3" s="18" t="s">
        <v>75</v>
      </c>
      <c r="K3" s="18" t="s">
        <v>77</v>
      </c>
    </row>
    <row r="4" spans="1:13">
      <c r="A4" s="3" t="s">
        <v>22</v>
      </c>
      <c r="B4" s="3"/>
      <c r="C4" s="3"/>
      <c r="D4" s="3"/>
      <c r="E4" s="3"/>
    </row>
    <row r="5" spans="1:13">
      <c r="A5" s="1"/>
      <c r="B5" s="1"/>
      <c r="C5" s="1"/>
      <c r="D5" s="1"/>
      <c r="E5" s="1"/>
    </row>
    <row r="6" spans="1:13" ht="15.75" thickBot="1">
      <c r="A6" s="45" t="s">
        <v>3</v>
      </c>
      <c r="B6" s="46"/>
      <c r="C6" s="46"/>
      <c r="D6" s="47"/>
      <c r="E6" s="2"/>
      <c r="H6" s="49" t="s">
        <v>163</v>
      </c>
      <c r="I6" s="49"/>
      <c r="J6" s="49"/>
      <c r="K6" s="49"/>
      <c r="L6" s="49"/>
      <c r="M6" s="49"/>
    </row>
    <row r="7" spans="1:13">
      <c r="A7" s="3" t="s">
        <v>4</v>
      </c>
      <c r="B7" s="3" t="s">
        <v>0</v>
      </c>
      <c r="C7" s="3" t="s">
        <v>6</v>
      </c>
      <c r="D7" s="3" t="s">
        <v>5</v>
      </c>
      <c r="E7" s="4"/>
      <c r="H7" s="20" t="s">
        <v>164</v>
      </c>
      <c r="I7" s="21" t="s">
        <v>165</v>
      </c>
      <c r="J7" s="21" t="s">
        <v>166</v>
      </c>
      <c r="K7" s="22" t="s">
        <v>167</v>
      </c>
      <c r="L7" s="26" t="s">
        <v>168</v>
      </c>
      <c r="M7" s="27" t="s">
        <v>172</v>
      </c>
    </row>
    <row r="8" spans="1:13" ht="15.75" thickBot="1">
      <c r="A8" s="3" t="s">
        <v>17</v>
      </c>
      <c r="B8" s="3" t="s">
        <v>17</v>
      </c>
      <c r="C8" s="3" t="s">
        <v>21</v>
      </c>
      <c r="D8" s="3" t="s">
        <v>19</v>
      </c>
      <c r="E8" s="4"/>
      <c r="H8" s="23" t="s">
        <v>169</v>
      </c>
      <c r="I8" s="24" t="s">
        <v>170</v>
      </c>
      <c r="J8" s="24">
        <v>2015</v>
      </c>
      <c r="K8" s="25" t="s">
        <v>171</v>
      </c>
      <c r="L8" s="28">
        <v>5</v>
      </c>
      <c r="M8" s="29">
        <v>50</v>
      </c>
    </row>
    <row r="9" spans="1:13" ht="15.75" thickBot="1">
      <c r="A9" s="3" t="s">
        <v>22</v>
      </c>
      <c r="B9" s="3" t="s">
        <v>23</v>
      </c>
      <c r="C9" s="3"/>
      <c r="D9" s="3"/>
      <c r="E9" s="4"/>
      <c r="H9" s="23" t="s">
        <v>177</v>
      </c>
      <c r="I9" s="24" t="s">
        <v>170</v>
      </c>
      <c r="J9" s="24">
        <v>2020</v>
      </c>
      <c r="K9" s="25" t="s">
        <v>171</v>
      </c>
      <c r="L9" s="28">
        <v>10</v>
      </c>
      <c r="M9" s="29">
        <v>70</v>
      </c>
    </row>
    <row r="10" spans="1:13">
      <c r="A10" s="1"/>
      <c r="B10" s="1"/>
      <c r="C10" s="1"/>
      <c r="D10" s="1"/>
      <c r="E10" s="1"/>
    </row>
    <row r="11" spans="1:13">
      <c r="A11" s="36" t="s">
        <v>7</v>
      </c>
      <c r="B11" s="37"/>
      <c r="C11" s="37"/>
      <c r="D11" s="37"/>
      <c r="E11" s="38"/>
      <c r="J11" s="3" t="s">
        <v>4</v>
      </c>
      <c r="K11" s="3" t="s">
        <v>0</v>
      </c>
      <c r="L11" s="3" t="s">
        <v>5</v>
      </c>
      <c r="M11" s="3" t="s">
        <v>6</v>
      </c>
    </row>
    <row r="12" spans="1:13" ht="15.75" thickBot="1">
      <c r="A12" s="3" t="s">
        <v>8</v>
      </c>
      <c r="B12" s="3" t="s">
        <v>4</v>
      </c>
      <c r="C12" s="3" t="s">
        <v>9</v>
      </c>
      <c r="D12" s="3" t="s">
        <v>10</v>
      </c>
      <c r="E12" s="3" t="s">
        <v>11</v>
      </c>
      <c r="I12" s="14" t="s">
        <v>174</v>
      </c>
      <c r="J12">
        <v>1</v>
      </c>
      <c r="K12" s="23" t="s">
        <v>177</v>
      </c>
      <c r="L12" t="s">
        <v>175</v>
      </c>
      <c r="M12">
        <v>50</v>
      </c>
    </row>
    <row r="13" spans="1:13" ht="15.75" thickBot="1">
      <c r="A13" s="3" t="s">
        <v>17</v>
      </c>
      <c r="B13" s="3" t="s">
        <v>17</v>
      </c>
      <c r="C13" s="3" t="s">
        <v>20</v>
      </c>
      <c r="D13" s="3" t="s">
        <v>21</v>
      </c>
      <c r="E13" s="3" t="s">
        <v>17</v>
      </c>
      <c r="J13">
        <v>2</v>
      </c>
      <c r="K13" s="23" t="s">
        <v>177</v>
      </c>
      <c r="L13" t="s">
        <v>175</v>
      </c>
      <c r="M13">
        <v>50</v>
      </c>
    </row>
    <row r="14" spans="1:13" ht="15.75" thickBot="1">
      <c r="A14" s="3" t="s">
        <v>22</v>
      </c>
      <c r="B14" s="3" t="s">
        <v>23</v>
      </c>
      <c r="C14" s="3"/>
      <c r="D14" s="3"/>
      <c r="E14" s="3" t="s">
        <v>23</v>
      </c>
      <c r="J14">
        <v>3</v>
      </c>
      <c r="K14" s="23" t="s">
        <v>177</v>
      </c>
      <c r="L14" t="s">
        <v>176</v>
      </c>
      <c r="M14">
        <v>50</v>
      </c>
    </row>
    <row r="15" spans="1:13" ht="15.75" thickBot="1">
      <c r="A15" s="1"/>
      <c r="B15" s="1"/>
      <c r="C15" s="1"/>
      <c r="D15" s="1"/>
      <c r="E15" s="1"/>
      <c r="J15">
        <v>4</v>
      </c>
      <c r="K15" s="23" t="s">
        <v>177</v>
      </c>
      <c r="L15" t="s">
        <v>175</v>
      </c>
      <c r="M15">
        <v>50</v>
      </c>
    </row>
    <row r="16" spans="1:13" ht="15.75" thickBot="1">
      <c r="A16" s="36" t="s">
        <v>12</v>
      </c>
      <c r="B16" s="37"/>
      <c r="C16" s="37"/>
      <c r="D16" s="38"/>
      <c r="E16" s="1"/>
      <c r="J16">
        <v>5</v>
      </c>
      <c r="K16" s="23" t="s">
        <v>177</v>
      </c>
      <c r="L16" t="s">
        <v>175</v>
      </c>
      <c r="M16">
        <v>50</v>
      </c>
    </row>
    <row r="17" spans="1:12">
      <c r="A17" s="3" t="s">
        <v>11</v>
      </c>
      <c r="B17" s="3" t="s">
        <v>13</v>
      </c>
      <c r="C17" s="3" t="s">
        <v>14</v>
      </c>
      <c r="D17" s="3" t="s">
        <v>15</v>
      </c>
      <c r="E17" s="1"/>
      <c r="J17" t="s">
        <v>173</v>
      </c>
      <c r="L17">
        <f>COUNTIF(L12:L16, "AVAILABLE")</f>
        <v>4</v>
      </c>
    </row>
    <row r="18" spans="1:12">
      <c r="A18" s="3" t="s">
        <v>17</v>
      </c>
      <c r="B18" s="3" t="s">
        <v>19</v>
      </c>
      <c r="C18" s="3" t="s">
        <v>19</v>
      </c>
      <c r="D18" s="3" t="s">
        <v>19</v>
      </c>
      <c r="E18" s="1"/>
    </row>
    <row r="19" spans="1:12">
      <c r="A19" s="3" t="s">
        <v>22</v>
      </c>
      <c r="B19" s="3"/>
      <c r="C19" s="3"/>
      <c r="D19" s="3"/>
      <c r="E19" s="1"/>
    </row>
    <row r="20" spans="1:12">
      <c r="A20" s="4"/>
      <c r="B20" s="4"/>
      <c r="C20" s="4"/>
      <c r="D20" s="4"/>
      <c r="E20" s="1"/>
    </row>
    <row r="21" spans="1:12">
      <c r="A21" s="48" t="s">
        <v>92</v>
      </c>
      <c r="B21" s="48"/>
      <c r="C21" s="48"/>
      <c r="E21" s="39" t="s">
        <v>130</v>
      </c>
      <c r="F21" s="39"/>
      <c r="G21" s="39"/>
      <c r="H21" s="39"/>
      <c r="I21" s="39"/>
    </row>
    <row r="22" spans="1:12">
      <c r="A22" t="s">
        <v>78</v>
      </c>
      <c r="B22" t="s">
        <v>79</v>
      </c>
      <c r="C22" t="s">
        <v>80</v>
      </c>
      <c r="E22" s="39" t="s">
        <v>131</v>
      </c>
      <c r="F22" s="39"/>
      <c r="G22" s="39"/>
      <c r="H22" s="39"/>
      <c r="I22" s="39"/>
      <c r="J22" s="50" t="s">
        <v>178</v>
      </c>
      <c r="K22" s="50"/>
    </row>
    <row r="23" spans="1:12">
      <c r="A23" s="18" t="s">
        <v>81</v>
      </c>
      <c r="B23" s="18" t="s">
        <v>82</v>
      </c>
      <c r="C23" s="18" t="s">
        <v>83</v>
      </c>
      <c r="E23" s="40" t="s">
        <v>132</v>
      </c>
      <c r="F23" s="40"/>
      <c r="G23" s="40"/>
      <c r="H23" s="40"/>
      <c r="I23" s="40"/>
      <c r="J23" s="52" t="s">
        <v>181</v>
      </c>
      <c r="K23" s="51" t="s">
        <v>182</v>
      </c>
    </row>
    <row r="24" spans="1:12">
      <c r="A24" s="18" t="s">
        <v>84</v>
      </c>
      <c r="B24" s="18" t="s">
        <v>82</v>
      </c>
      <c r="C24" s="18" t="s">
        <v>85</v>
      </c>
      <c r="E24" s="40" t="s">
        <v>133</v>
      </c>
      <c r="F24" s="40"/>
      <c r="G24" s="40"/>
      <c r="H24" s="40"/>
      <c r="I24" s="40"/>
      <c r="J24" s="53" t="s">
        <v>183</v>
      </c>
      <c r="K24" s="18" t="s">
        <v>44</v>
      </c>
    </row>
    <row r="25" spans="1:12">
      <c r="A25" s="18" t="s">
        <v>86</v>
      </c>
      <c r="B25" s="18" t="s">
        <v>87</v>
      </c>
      <c r="C25" s="18" t="s">
        <v>88</v>
      </c>
      <c r="E25" s="40" t="s">
        <v>134</v>
      </c>
      <c r="F25" s="40"/>
      <c r="G25" s="40"/>
      <c r="H25" s="40"/>
      <c r="I25" s="40"/>
      <c r="J25" s="53" t="s">
        <v>184</v>
      </c>
      <c r="K25" s="18" t="s">
        <v>179</v>
      </c>
    </row>
    <row r="26" spans="1:12">
      <c r="A26" s="18" t="s">
        <v>89</v>
      </c>
      <c r="B26" s="18" t="s">
        <v>87</v>
      </c>
      <c r="C26" s="18" t="s">
        <v>90</v>
      </c>
      <c r="E26" s="40" t="s">
        <v>135</v>
      </c>
      <c r="F26" s="40"/>
      <c r="G26" s="40"/>
      <c r="H26" s="40"/>
      <c r="I26" s="40"/>
      <c r="J26" s="53" t="s">
        <v>185</v>
      </c>
      <c r="K26" s="18" t="s">
        <v>180</v>
      </c>
    </row>
    <row r="27" spans="1:12">
      <c r="A27" s="18" t="s">
        <v>109</v>
      </c>
      <c r="B27" s="18" t="s">
        <v>110</v>
      </c>
      <c r="C27" s="18" t="s">
        <v>111</v>
      </c>
      <c r="E27" s="40" t="s">
        <v>136</v>
      </c>
      <c r="F27" s="40"/>
      <c r="G27" s="40"/>
      <c r="H27" s="40"/>
      <c r="I27" s="40"/>
      <c r="J27" s="53" t="s">
        <v>186</v>
      </c>
      <c r="K27" s="18" t="s">
        <v>187</v>
      </c>
    </row>
    <row r="28" spans="1:12">
      <c r="C28" s="18"/>
      <c r="E28" s="39"/>
      <c r="F28" s="39"/>
      <c r="G28" s="39"/>
      <c r="H28" s="39"/>
      <c r="I28" s="39"/>
      <c r="J28" s="53" t="s">
        <v>188</v>
      </c>
      <c r="K28" s="18" t="s">
        <v>189</v>
      </c>
    </row>
    <row r="29" spans="1:12">
      <c r="A29" s="43" t="s">
        <v>93</v>
      </c>
      <c r="B29" s="43"/>
      <c r="C29" s="43"/>
      <c r="E29" s="39" t="s">
        <v>137</v>
      </c>
      <c r="F29" s="39"/>
      <c r="G29" s="39"/>
      <c r="H29" s="39"/>
      <c r="I29" s="39"/>
      <c r="J29" s="53" t="s">
        <v>190</v>
      </c>
      <c r="K29" s="18" t="s">
        <v>191</v>
      </c>
    </row>
    <row r="30" spans="1:12">
      <c r="A30" s="42" t="s">
        <v>91</v>
      </c>
      <c r="B30" s="42"/>
      <c r="C30" s="42"/>
      <c r="E30" s="40" t="s">
        <v>138</v>
      </c>
      <c r="F30" s="40"/>
      <c r="G30" s="40"/>
      <c r="H30" s="40"/>
      <c r="I30" s="40"/>
      <c r="J30" s="53" t="s">
        <v>192</v>
      </c>
      <c r="K30" s="18" t="s">
        <v>193</v>
      </c>
    </row>
    <row r="31" spans="1:12">
      <c r="A31" s="42" t="s">
        <v>94</v>
      </c>
      <c r="B31" s="42"/>
      <c r="C31" s="42"/>
      <c r="E31" s="40" t="s">
        <v>139</v>
      </c>
      <c r="F31" s="40"/>
      <c r="G31" s="40"/>
      <c r="H31" s="40"/>
      <c r="I31" s="40"/>
      <c r="J31" s="53" t="s">
        <v>194</v>
      </c>
      <c r="K31" s="18" t="s">
        <v>195</v>
      </c>
    </row>
    <row r="32" spans="1:12">
      <c r="A32" s="42" t="s">
        <v>95</v>
      </c>
      <c r="B32" s="42"/>
      <c r="C32" s="42"/>
      <c r="E32" s="39"/>
      <c r="F32" s="39"/>
      <c r="G32" s="39"/>
      <c r="H32" s="39"/>
      <c r="I32" s="39"/>
    </row>
    <row r="33" spans="1:9">
      <c r="A33" s="42" t="s">
        <v>96</v>
      </c>
      <c r="B33" s="42"/>
      <c r="C33" s="42"/>
      <c r="E33" s="39" t="s">
        <v>140</v>
      </c>
      <c r="F33" s="39"/>
      <c r="G33" s="39"/>
      <c r="H33" s="39"/>
      <c r="I33" s="39"/>
    </row>
    <row r="34" spans="1:9">
      <c r="E34" s="40" t="s">
        <v>142</v>
      </c>
      <c r="F34" s="40"/>
      <c r="G34" s="40"/>
      <c r="H34" s="40"/>
      <c r="I34" s="40"/>
    </row>
    <row r="35" spans="1:9">
      <c r="A35" s="43" t="s">
        <v>97</v>
      </c>
      <c r="B35" s="43"/>
      <c r="C35" s="43"/>
      <c r="E35" s="40" t="s">
        <v>141</v>
      </c>
      <c r="F35" s="40"/>
      <c r="G35" s="40"/>
      <c r="H35" s="40"/>
      <c r="I35" s="40"/>
    </row>
    <row r="36" spans="1:9">
      <c r="A36" s="42" t="s">
        <v>98</v>
      </c>
      <c r="B36" s="42"/>
      <c r="C36" s="42"/>
      <c r="E36" s="40" t="s">
        <v>143</v>
      </c>
      <c r="F36" s="40"/>
      <c r="G36" s="40"/>
      <c r="H36" s="40"/>
      <c r="I36" s="40"/>
    </row>
    <row r="37" spans="1:9">
      <c r="A37" s="42" t="s">
        <v>99</v>
      </c>
      <c r="B37" s="42"/>
      <c r="C37" s="42"/>
      <c r="E37" s="39"/>
      <c r="F37" s="39"/>
      <c r="G37" s="39"/>
      <c r="H37" s="39"/>
      <c r="I37" s="39"/>
    </row>
    <row r="38" spans="1:9">
      <c r="A38" s="42" t="s">
        <v>100</v>
      </c>
      <c r="B38" s="42"/>
      <c r="C38" s="42"/>
      <c r="E38" s="39" t="s">
        <v>144</v>
      </c>
      <c r="F38" s="39"/>
      <c r="G38" s="39"/>
      <c r="H38" s="39"/>
      <c r="I38" s="39"/>
    </row>
    <row r="39" spans="1:9">
      <c r="A39" s="42" t="s">
        <v>101</v>
      </c>
      <c r="B39" s="42"/>
      <c r="C39" s="42"/>
      <c r="E39" s="40" t="s">
        <v>145</v>
      </c>
      <c r="F39" s="40"/>
      <c r="G39" s="40"/>
      <c r="H39" s="40"/>
      <c r="I39" s="40"/>
    </row>
    <row r="40" spans="1:9" ht="15" customHeight="1">
      <c r="A40" s="19"/>
      <c r="B40" s="19"/>
      <c r="C40" s="19"/>
      <c r="E40" s="41" t="s">
        <v>146</v>
      </c>
      <c r="F40" s="41"/>
      <c r="G40" s="41"/>
      <c r="H40" s="41"/>
      <c r="I40" s="41"/>
    </row>
    <row r="41" spans="1:9">
      <c r="A41" s="42" t="s">
        <v>102</v>
      </c>
      <c r="B41" s="42"/>
      <c r="C41" s="42"/>
      <c r="E41" s="41"/>
      <c r="F41" s="41"/>
      <c r="G41" s="41"/>
      <c r="H41" s="41"/>
      <c r="I41" s="41"/>
    </row>
    <row r="42" spans="1:9">
      <c r="A42" s="42" t="s">
        <v>103</v>
      </c>
      <c r="B42" s="42"/>
      <c r="C42" s="42"/>
      <c r="E42" s="41"/>
      <c r="F42" s="41"/>
      <c r="G42" s="41"/>
      <c r="H42" s="41"/>
      <c r="I42" s="41"/>
    </row>
    <row r="43" spans="1:9">
      <c r="A43" s="42" t="s">
        <v>104</v>
      </c>
      <c r="B43" s="42"/>
      <c r="C43" s="42"/>
      <c r="E43" s="41"/>
      <c r="F43" s="41"/>
      <c r="G43" s="41"/>
      <c r="H43" s="41"/>
      <c r="I43" s="41"/>
    </row>
    <row r="44" spans="1:9">
      <c r="A44" s="42" t="s">
        <v>105</v>
      </c>
      <c r="B44" s="42"/>
      <c r="C44" s="42"/>
      <c r="E44" s="41"/>
      <c r="F44" s="41"/>
      <c r="G44" s="41"/>
      <c r="H44" s="41"/>
      <c r="I44" s="41"/>
    </row>
    <row r="45" spans="1:9">
      <c r="A45" s="19"/>
      <c r="B45" s="19"/>
      <c r="C45" s="19"/>
      <c r="E45" s="39"/>
      <c r="F45" s="39"/>
      <c r="G45" s="39"/>
      <c r="H45" s="39"/>
      <c r="I45" s="39"/>
    </row>
    <row r="46" spans="1:9">
      <c r="A46" s="42" t="s">
        <v>106</v>
      </c>
      <c r="B46" s="42"/>
      <c r="C46" s="42"/>
      <c r="E46" s="39" t="s">
        <v>147</v>
      </c>
      <c r="F46" s="39"/>
      <c r="G46" s="39"/>
      <c r="H46" s="39"/>
      <c r="I46" s="39"/>
    </row>
    <row r="47" spans="1:9">
      <c r="A47" s="42" t="s">
        <v>107</v>
      </c>
      <c r="B47" s="42"/>
      <c r="C47" s="42"/>
      <c r="E47" s="40" t="s">
        <v>148</v>
      </c>
      <c r="F47" s="40"/>
      <c r="G47" s="40"/>
      <c r="H47" s="40"/>
      <c r="I47" s="40"/>
    </row>
    <row r="48" spans="1:9">
      <c r="A48" s="42" t="s">
        <v>108</v>
      </c>
      <c r="B48" s="42"/>
      <c r="C48" s="42"/>
      <c r="E48" s="40" t="s">
        <v>149</v>
      </c>
      <c r="F48" s="40"/>
      <c r="G48" s="40"/>
      <c r="H48" s="40"/>
      <c r="I48" s="40"/>
    </row>
    <row r="49" spans="1:9">
      <c r="A49" s="19"/>
      <c r="B49" s="19"/>
      <c r="C49" s="19"/>
      <c r="E49" s="40" t="s">
        <v>150</v>
      </c>
      <c r="F49" s="40"/>
      <c r="G49" s="40"/>
      <c r="H49" s="40"/>
      <c r="I49" s="40"/>
    </row>
    <row r="50" spans="1:9">
      <c r="A50" s="42" t="s">
        <v>120</v>
      </c>
      <c r="B50" s="42"/>
      <c r="C50" s="42"/>
      <c r="E50" s="40" t="s">
        <v>151</v>
      </c>
      <c r="F50" s="40"/>
      <c r="G50" s="40"/>
      <c r="H50" s="40"/>
      <c r="I50" s="40"/>
    </row>
    <row r="51" spans="1:9">
      <c r="A51" s="42" t="s">
        <v>121</v>
      </c>
      <c r="B51" s="42"/>
      <c r="C51" s="42"/>
      <c r="E51" s="40" t="s">
        <v>152</v>
      </c>
      <c r="F51" s="40"/>
      <c r="G51" s="40"/>
      <c r="H51" s="40"/>
      <c r="I51" s="40"/>
    </row>
    <row r="52" spans="1:9">
      <c r="A52" s="42" t="s">
        <v>122</v>
      </c>
      <c r="B52" s="42"/>
      <c r="C52" s="42"/>
      <c r="E52" s="39"/>
      <c r="F52" s="39"/>
      <c r="G52" s="39"/>
      <c r="H52" s="39"/>
      <c r="I52" s="39"/>
    </row>
    <row r="53" spans="1:9">
      <c r="A53" s="42" t="s">
        <v>123</v>
      </c>
      <c r="B53" s="42"/>
      <c r="C53" s="42"/>
      <c r="E53" s="39" t="s">
        <v>153</v>
      </c>
      <c r="F53" s="39"/>
      <c r="G53" s="39"/>
      <c r="H53" s="39"/>
      <c r="I53" s="39"/>
    </row>
    <row r="54" spans="1:9">
      <c r="A54" s="42"/>
      <c r="B54" s="42"/>
      <c r="C54" s="42"/>
      <c r="E54" s="40" t="s">
        <v>154</v>
      </c>
      <c r="F54" s="40"/>
      <c r="G54" s="40"/>
      <c r="H54" s="40"/>
      <c r="I54" s="40"/>
    </row>
    <row r="55" spans="1:9">
      <c r="A55" s="42" t="s">
        <v>124</v>
      </c>
      <c r="B55" s="42"/>
      <c r="C55" s="42"/>
      <c r="E55" s="40" t="s">
        <v>155</v>
      </c>
      <c r="F55" s="40"/>
      <c r="G55" s="40"/>
      <c r="H55" s="40"/>
      <c r="I55" s="40"/>
    </row>
    <row r="56" spans="1:9">
      <c r="A56" s="42" t="s">
        <v>125</v>
      </c>
      <c r="B56" s="42"/>
      <c r="C56" s="42"/>
      <c r="E56" s="39"/>
      <c r="F56" s="39"/>
      <c r="G56" s="39"/>
      <c r="H56" s="39"/>
      <c r="I56" s="39"/>
    </row>
    <row r="57" spans="1:9">
      <c r="A57" s="42" t="s">
        <v>126</v>
      </c>
      <c r="B57" s="42"/>
      <c r="C57" s="42"/>
      <c r="E57" s="39" t="s">
        <v>156</v>
      </c>
      <c r="F57" s="39"/>
      <c r="G57" s="39"/>
      <c r="H57" s="39"/>
      <c r="I57" s="39"/>
    </row>
    <row r="58" spans="1:9">
      <c r="A58" s="42" t="s">
        <v>88</v>
      </c>
      <c r="B58" s="42"/>
      <c r="C58" s="42"/>
      <c r="E58" s="40" t="s">
        <v>157</v>
      </c>
      <c r="F58" s="40"/>
      <c r="G58" s="40"/>
      <c r="H58" s="40"/>
      <c r="I58" s="40"/>
    </row>
    <row r="59" spans="1:9" ht="15" customHeight="1">
      <c r="A59" s="42" t="s">
        <v>127</v>
      </c>
      <c r="B59" s="42"/>
      <c r="C59" s="42"/>
      <c r="E59" s="41" t="s">
        <v>158</v>
      </c>
      <c r="F59" s="41"/>
      <c r="G59" s="41"/>
      <c r="H59" s="41"/>
      <c r="I59" s="41"/>
    </row>
    <row r="60" spans="1:9">
      <c r="A60" s="42"/>
      <c r="B60" s="42"/>
      <c r="C60" s="42"/>
      <c r="E60" s="41"/>
      <c r="F60" s="41"/>
      <c r="G60" s="41"/>
      <c r="H60" s="41"/>
      <c r="I60" s="41"/>
    </row>
    <row r="61" spans="1:9">
      <c r="A61" s="42" t="s">
        <v>128</v>
      </c>
      <c r="B61" s="42"/>
      <c r="C61" s="42"/>
      <c r="E61" s="39"/>
      <c r="F61" s="39"/>
      <c r="G61" s="39"/>
      <c r="H61" s="39"/>
      <c r="I61" s="39"/>
    </row>
    <row r="62" spans="1:9">
      <c r="A62" s="42" t="s">
        <v>129</v>
      </c>
      <c r="B62" s="42"/>
      <c r="C62" s="42"/>
      <c r="E62" s="39" t="s">
        <v>160</v>
      </c>
      <c r="F62" s="39"/>
      <c r="G62" s="39"/>
      <c r="H62" s="39"/>
      <c r="I62" s="39"/>
    </row>
    <row r="63" spans="1:9">
      <c r="E63" s="40" t="s">
        <v>159</v>
      </c>
      <c r="F63" s="40"/>
      <c r="G63" s="40"/>
      <c r="H63" s="40"/>
      <c r="I63" s="40"/>
    </row>
    <row r="64" spans="1:9">
      <c r="A64" s="43" t="s">
        <v>112</v>
      </c>
      <c r="B64" s="43"/>
      <c r="C64" s="43"/>
      <c r="E64" s="40" t="s">
        <v>161</v>
      </c>
      <c r="F64" s="40"/>
      <c r="G64" s="40"/>
      <c r="H64" s="40"/>
      <c r="I64" s="40"/>
    </row>
    <row r="65" spans="1:9">
      <c r="A65" s="42" t="s">
        <v>113</v>
      </c>
      <c r="B65" s="42"/>
      <c r="C65" s="42"/>
      <c r="E65" s="40" t="s">
        <v>162</v>
      </c>
      <c r="F65" s="40"/>
      <c r="G65" s="40"/>
      <c r="H65" s="40"/>
      <c r="I65" s="40"/>
    </row>
    <row r="66" spans="1:9">
      <c r="A66" s="42" t="s">
        <v>114</v>
      </c>
      <c r="B66" s="42"/>
      <c r="C66" s="42"/>
    </row>
    <row r="67" spans="1:9">
      <c r="A67" s="19"/>
      <c r="B67" s="19"/>
      <c r="C67" s="19"/>
    </row>
    <row r="68" spans="1:9">
      <c r="A68" s="42" t="s">
        <v>115</v>
      </c>
      <c r="B68" s="42"/>
      <c r="C68" s="42"/>
    </row>
    <row r="69" spans="1:9">
      <c r="A69" s="42" t="s">
        <v>116</v>
      </c>
      <c r="B69" s="42"/>
      <c r="C69" s="42"/>
    </row>
    <row r="70" spans="1:9">
      <c r="A70" s="42" t="s">
        <v>117</v>
      </c>
      <c r="B70" s="42"/>
      <c r="C70" s="42"/>
    </row>
    <row r="71" spans="1:9">
      <c r="A71" s="42" t="s">
        <v>118</v>
      </c>
      <c r="B71" s="42"/>
      <c r="C71" s="42"/>
    </row>
    <row r="72" spans="1:9">
      <c r="A72" s="42" t="s">
        <v>119</v>
      </c>
      <c r="B72" s="42"/>
      <c r="C72" s="42"/>
    </row>
  </sheetData>
  <mergeCells count="85">
    <mergeCell ref="J22:K22"/>
    <mergeCell ref="A29:C29"/>
    <mergeCell ref="E29:I29"/>
    <mergeCell ref="A1:E1"/>
    <mergeCell ref="A6:D6"/>
    <mergeCell ref="A11:E11"/>
    <mergeCell ref="A16:D16"/>
    <mergeCell ref="A21:C21"/>
    <mergeCell ref="E21:I21"/>
    <mergeCell ref="E22:I22"/>
    <mergeCell ref="E23:I23"/>
    <mergeCell ref="E24:I24"/>
    <mergeCell ref="E25:I25"/>
    <mergeCell ref="E26:I26"/>
    <mergeCell ref="E27:I27"/>
    <mergeCell ref="E28:I28"/>
    <mergeCell ref="H6:M6"/>
    <mergeCell ref="A30:C30"/>
    <mergeCell ref="A31:C31"/>
    <mergeCell ref="A32:C32"/>
    <mergeCell ref="A33:C33"/>
    <mergeCell ref="A36:C36"/>
    <mergeCell ref="A35:C35"/>
    <mergeCell ref="A64:C64"/>
    <mergeCell ref="A72:C72"/>
    <mergeCell ref="A71:C71"/>
    <mergeCell ref="A70:C70"/>
    <mergeCell ref="A69:C69"/>
    <mergeCell ref="A68:C68"/>
    <mergeCell ref="A48:C48"/>
    <mergeCell ref="A47:C47"/>
    <mergeCell ref="A46:C46"/>
    <mergeCell ref="A44:C44"/>
    <mergeCell ref="A43:C43"/>
    <mergeCell ref="A42:C42"/>
    <mergeCell ref="A37:C37"/>
    <mergeCell ref="A66:C66"/>
    <mergeCell ref="A65:C65"/>
    <mergeCell ref="A41:C41"/>
    <mergeCell ref="A39:C39"/>
    <mergeCell ref="A38:C38"/>
    <mergeCell ref="A62:C62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E35:I35"/>
    <mergeCell ref="E40:I44"/>
    <mergeCell ref="E55:I55"/>
    <mergeCell ref="E36:I36"/>
    <mergeCell ref="E37:I37"/>
    <mergeCell ref="E38:I38"/>
    <mergeCell ref="E39:I39"/>
    <mergeCell ref="E45:I45"/>
    <mergeCell ref="E46:I46"/>
    <mergeCell ref="E47:I47"/>
    <mergeCell ref="E48:I48"/>
    <mergeCell ref="E49:I49"/>
    <mergeCell ref="E30:I30"/>
    <mergeCell ref="E31:I31"/>
    <mergeCell ref="E32:I32"/>
    <mergeCell ref="E33:I33"/>
    <mergeCell ref="E34:I34"/>
    <mergeCell ref="E50:I50"/>
    <mergeCell ref="E51:I51"/>
    <mergeCell ref="E52:I52"/>
    <mergeCell ref="E53:I53"/>
    <mergeCell ref="E54:I54"/>
    <mergeCell ref="E62:I62"/>
    <mergeCell ref="E63:I63"/>
    <mergeCell ref="E64:I64"/>
    <mergeCell ref="E65:I65"/>
    <mergeCell ref="E56:I56"/>
    <mergeCell ref="E57:I57"/>
    <mergeCell ref="E58:I58"/>
    <mergeCell ref="E61:I61"/>
    <mergeCell ref="E59:I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ENDPOINTS</vt:lpstr>
      <vt:lpstr>OPERATIONS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 Kalinowski</dc:creator>
  <cp:lastModifiedBy>Gerard Kalinowski</cp:lastModifiedBy>
  <dcterms:created xsi:type="dcterms:W3CDTF">2026-01-03T13:00:20Z</dcterms:created>
  <dcterms:modified xsi:type="dcterms:W3CDTF">2026-01-30T16:43:41Z</dcterms:modified>
</cp:coreProperties>
</file>